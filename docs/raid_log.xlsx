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Risks" sheetId="2" state="visible" r:id="rId2"/>
    <sheet name="Assumptions" sheetId="3" state="visible" r:id="rId3"/>
    <sheet name="Issues" sheetId="4" state="visible" r:id="rId4"/>
    <sheet name="Dependencies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charset val="1"/>
      <family val="0"/>
      <b val="1"/>
      <sz val="13"/>
    </font>
    <font>
      <name val="Times New Roman"/>
      <charset val="1"/>
      <family val="0"/>
      <sz val="10"/>
    </font>
    <font>
      <name val="Times New Roman"/>
      <charset val="1"/>
      <family val="0"/>
      <i val="1"/>
      <sz val="10"/>
    </font>
    <font>
      <name val="Times New Roman"/>
      <charset val="1"/>
      <family val="0"/>
      <b val="1"/>
      <color rgb="FFFFFFFF"/>
      <sz val="10"/>
    </font>
    <font>
      <name val="Times New Roman"/>
      <charset val="1"/>
      <family val="0"/>
      <color rgb="FF0000FF"/>
      <sz val="10"/>
    </font>
  </fonts>
  <fills count="3">
    <fill>
      <patternFill/>
    </fill>
    <fill>
      <patternFill patternType="gray125"/>
    </fill>
    <fill>
      <patternFill patternType="solid">
        <fgColor rgb="FF1F2933"/>
        <bgColor rgb="FF333300"/>
      </patternFill>
    </fill>
  </fills>
  <borders count="2">
    <border>
      <left/>
      <right/>
      <top/>
      <bottom/>
      <diagonal/>
    </border>
    <border>
      <left style="thin">
        <color rgb="FFCBD2D9"/>
      </left>
      <right style="thin">
        <color rgb="FFCBD2D9"/>
      </right>
      <top style="thin">
        <color rgb="FFCBD2D9"/>
      </top>
      <bottom style="thin">
        <color rgb="FFCBD2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top" wrapText="1"/>
    </xf>
    <xf numFmtId="0" fontId="5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BD2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7" min="1" max="1"/>
    <col width="12" customWidth="1" style="7" min="2" max="2"/>
  </cols>
  <sheetData>
    <row r="1" ht="16.15" customHeight="1" s="8">
      <c r="A1" s="9" t="inlineStr">
        <is>
          <t>Admissio Yield Forecaster: Technical RAID log</t>
        </is>
      </c>
    </row>
    <row r="2"/>
    <row r="3" ht="15" customHeight="1" s="8">
      <c r="A3" s="10" t="inlineStr">
        <is>
          <t>Risks</t>
        </is>
      </c>
      <c r="B3" s="10">
        <f>COUNTA(Risks!A2:A100)</f>
        <v/>
      </c>
    </row>
    <row r="4" ht="15" customHeight="1" s="8">
      <c r="A4" s="10" t="inlineStr">
        <is>
          <t>High-rated risks</t>
        </is>
      </c>
      <c r="B4" s="10">
        <f>COUNTIF(Risks!F2:F100,"High")</f>
        <v/>
      </c>
    </row>
    <row r="5" ht="15" customHeight="1" s="8">
      <c r="A5" s="10" t="inlineStr">
        <is>
          <t>Open or mitigating risks</t>
        </is>
      </c>
      <c r="B5" s="10">
        <f>COUNTIF(Risks!J2:J100,"Open")+COUNTIF(Risks!J2:J100,"Mitigating")</f>
        <v/>
      </c>
    </row>
    <row r="6" ht="15" customHeight="1" s="8">
      <c r="A6" s="10" t="inlineStr">
        <is>
          <t>Assumptions</t>
        </is>
      </c>
      <c r="B6" s="10">
        <f>COUNTA(Assumptions!A2:A100)</f>
        <v/>
      </c>
    </row>
    <row r="7" ht="15" customHeight="1" s="8">
      <c r="A7" s="10" t="inlineStr">
        <is>
          <t>Open issues</t>
        </is>
      </c>
      <c r="B7" s="10">
        <f>COUNTIF(Issues!F2:F100,"Open")</f>
        <v/>
      </c>
    </row>
    <row r="8" ht="15" customHeight="1" s="8">
      <c r="A8" s="10" t="inlineStr">
        <is>
          <t>Dependencies</t>
        </is>
      </c>
      <c r="B8" s="10">
        <f>COUNTA(Dependencies!A2:A100)</f>
        <v/>
      </c>
    </row>
    <row r="9"/>
    <row r="10" ht="15" customHeight="1" s="8">
      <c r="A10" s="11" t="inlineStr">
        <is>
          <t>Scoring: Score = Likelihood x Impact. High is 6 or more, Medium 3 to 5, Low below 3.</t>
        </is>
      </c>
    </row>
    <row r="11" ht="15" customHeight="1" s="8">
      <c r="A11" s="11" t="inlineStr">
        <is>
          <t>Blue cells on the Risks sheet are inputs; edit them when a risk is reassessed at sprint review.</t>
        </is>
      </c>
    </row>
    <row r="12" ht="15" customHeight="1" s="8">
      <c r="A12" s="11" t="inlineStr">
        <is>
          <t>Ratios in R1 and I4 come from the naive baseline and the Module 4 model on the 2024 IPEDS hold-out; R10 and R11 come from the Final Project monitoring run.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7" min="1" max="1"/>
    <col width="48" customWidth="1" style="7" min="2" max="2"/>
    <col width="11" customWidth="1" style="7" min="3" max="3"/>
    <col width="10" customWidth="1" style="7" min="4" max="4"/>
    <col width="8" customWidth="1" style="7" min="5" max="5"/>
    <col width="9" customWidth="1" style="7" min="6" max="6"/>
    <col width="16" customWidth="1" style="7" min="7" max="7"/>
    <col width="52" customWidth="1" style="7" min="8" max="8"/>
    <col width="10" customWidth="1" style="7" min="9" max="9"/>
    <col width="12" customWidth="1" style="7" min="10" max="10"/>
  </cols>
  <sheetData>
    <row r="1" ht="23.85" customHeight="1" s="8">
      <c r="A1" s="12" t="inlineStr">
        <is>
          <t>ID</t>
        </is>
      </c>
      <c r="B1" s="12" t="inlineStr">
        <is>
          <t>Risk</t>
        </is>
      </c>
      <c r="C1" s="12" t="inlineStr">
        <is>
          <t>Likelihood (1-3)</t>
        </is>
      </c>
      <c r="D1" s="12" t="inlineStr">
        <is>
          <t>Impact (1-3)</t>
        </is>
      </c>
      <c r="E1" s="12" t="inlineStr">
        <is>
          <t>Score</t>
        </is>
      </c>
      <c r="F1" s="12" t="inlineStr">
        <is>
          <t>Rating</t>
        </is>
      </c>
      <c r="G1" s="12" t="inlineStr">
        <is>
          <t>Owner</t>
        </is>
      </c>
      <c r="H1" s="12" t="inlineStr">
        <is>
          <t>Mitigation</t>
        </is>
      </c>
      <c r="I1" s="12" t="inlineStr">
        <is>
          <t>Sprint</t>
        </is>
      </c>
      <c r="J1" s="12" t="inlineStr">
        <is>
          <t>Status</t>
        </is>
      </c>
    </row>
    <row r="2" ht="35.05" customHeight="1" s="8">
      <c r="A2" s="13" t="inlineStr">
        <is>
          <t>R1</t>
        </is>
      </c>
      <c r="B2" s="13" t="inlineStr">
        <is>
          <t>Forecast error stays higher for small, for-profit and HBCU institutions. Model ratios 1.01 (HBCU), 3.76 (under 1,000) and 4.75 (for-profit) against a 1.25 limit; sampling noise sets a floor for the last two.</t>
        </is>
      </c>
      <c r="C2" s="14" t="n">
        <v>3</v>
      </c>
      <c r="D2" s="14" t="n">
        <v>3</v>
      </c>
      <c r="E2" s="13">
        <f>C2*D2</f>
        <v/>
      </c>
      <c r="F2" s="13">
        <f>IF(E2&gt;=6,"High",IF(E2&gt;=3,"Medium","Low"))</f>
        <v/>
      </c>
      <c r="G2" s="13" t="inlineStr">
        <is>
          <t>Analyst</t>
        </is>
      </c>
      <c r="H2" s="13" t="inlineStr">
        <is>
          <t>Group reweighting and group-calibrated intervals; monitoring raises an incident after two cycles above the limit; release blocked pending a panel decision on a noise-adjusted criterion.</t>
        </is>
      </c>
      <c r="I2" s="13" t="inlineStr">
        <is>
          <t>Final Project</t>
        </is>
      </c>
      <c r="J2" s="13" t="inlineStr">
        <is>
          <t>Mitigating</t>
        </is>
      </c>
    </row>
    <row r="3" ht="23.85" customHeight="1" s="8">
      <c r="A3" s="13" t="inlineStr">
        <is>
          <t>R2</t>
        </is>
      </c>
      <c r="B3" s="13" t="inlineStr">
        <is>
          <t>Three IPEDS years give too little history for per-institution time-series models.</t>
        </is>
      </c>
      <c r="C3" s="14" t="n">
        <v>2</v>
      </c>
      <c r="D3" s="14" t="n">
        <v>3</v>
      </c>
      <c r="E3" s="13">
        <f>C3*D3</f>
        <v/>
      </c>
      <c r="F3" s="13">
        <f>IF(E3&gt;=6,"High",IF(E3&gt;=3,"Medium","Low"))</f>
        <v/>
      </c>
      <c r="G3" s="13" t="inlineStr">
        <is>
          <t>Analyst</t>
        </is>
      </c>
      <c r="H3" s="13" t="inlineStr">
        <is>
          <t>Pooled panel model trained; retraining on 2023 and 2024 gave 5.32 MAE, so more cycles of US data alone do not reach 4.8.</t>
        </is>
      </c>
      <c r="I3" s="13" t="inlineStr">
        <is>
          <t>Final Project</t>
        </is>
      </c>
      <c r="J3" s="13" t="inlineStr">
        <is>
          <t>Mitigating</t>
        </is>
      </c>
    </row>
    <row r="4" ht="23.85" customHeight="1" s="8">
      <c r="A4" s="13" t="inlineStr">
        <is>
          <t>R3</t>
        </is>
      </c>
      <c r="B4" s="13" t="inlineStr">
        <is>
          <t>Admission test policy changes (88 institutions in 2024) break historical yield patterns.</t>
        </is>
      </c>
      <c r="C4" s="14" t="n">
        <v>2</v>
      </c>
      <c r="D4" s="14" t="n">
        <v>2</v>
      </c>
      <c r="E4" s="13">
        <f>C4*D4</f>
        <v/>
      </c>
      <c r="F4" s="13">
        <f>IF(E4&gt;=6,"High",IF(E4&gt;=3,"Medium","Low"))</f>
        <v/>
      </c>
      <c r="G4" s="13" t="inlineStr">
        <is>
          <t>Analyst</t>
        </is>
      </c>
      <c r="H4" s="13" t="inlineStr">
        <is>
          <t>Test-policy-changed feature added and policy sensitivity tested in Module 4.</t>
        </is>
      </c>
      <c r="I4" s="13" t="inlineStr">
        <is>
          <t>Sprint 3</t>
        </is>
      </c>
      <c r="J4" s="13" t="inlineStr">
        <is>
          <t>Closed</t>
        </is>
      </c>
    </row>
    <row r="5" ht="23.85" customHeight="1" s="8">
      <c r="A5" s="13" t="inlineStr">
        <is>
          <t>R4</t>
        </is>
      </c>
      <c r="B5" s="13" t="inlineStr">
        <is>
          <t>New IPEDS releases change headers, encodings or codes.</t>
        </is>
      </c>
      <c r="C5" s="14" t="n">
        <v>3</v>
      </c>
      <c r="D5" s="14" t="n">
        <v>2</v>
      </c>
      <c r="E5" s="13">
        <f>C5*D5</f>
        <v/>
      </c>
      <c r="F5" s="13">
        <f>IF(E5&gt;=6,"High",IF(E5&gt;=3,"Medium","Low"))</f>
        <v/>
      </c>
      <c r="G5" s="13" t="inlineStr">
        <is>
          <t>Analyst</t>
        </is>
      </c>
      <c r="H5" s="13" t="inlineStr">
        <is>
          <t>Great Expectations suites validate every load in the pipeline and CI; weekly monitoring checks input drift.</t>
        </is>
      </c>
      <c r="I5" s="13" t="inlineStr">
        <is>
          <t>Sprint 2</t>
        </is>
      </c>
      <c r="J5" s="13" t="inlineStr">
        <is>
          <t>Closed</t>
        </is>
      </c>
    </row>
    <row r="6" ht="23.85" customHeight="1" s="8">
      <c r="A6" s="13" t="inlineStr">
        <is>
          <t>R5</t>
        </is>
      </c>
      <c r="B6" s="13" t="inlineStr">
        <is>
          <t>Partner tenant data leak once Admissio aggregates enter the pipeline.</t>
        </is>
      </c>
      <c r="C6" s="14" t="n">
        <v>1</v>
      </c>
      <c r="D6" s="14" t="n">
        <v>3</v>
      </c>
      <c r="E6" s="13">
        <f>C6*D6</f>
        <v/>
      </c>
      <c r="F6" s="13">
        <f>IF(E6&gt;=6,"High",IF(E6&gt;=3,"Medium","Low"))</f>
        <v/>
      </c>
      <c r="G6" s="13" t="inlineStr">
        <is>
          <t>Product team</t>
        </is>
      </c>
      <c r="H6" s="13" t="inlineStr">
        <is>
          <t>Partner extracts deleted after each run; only suppressed, pseudonymised aggregates kept; access matrix enforced in CI.</t>
        </is>
      </c>
      <c r="I6" s="13" t="inlineStr">
        <is>
          <t>Sprint 2</t>
        </is>
      </c>
      <c r="J6" s="13" t="inlineStr">
        <is>
          <t>Mitigating</t>
        </is>
      </c>
    </row>
    <row r="7" ht="23.85" customHeight="1" s="8">
      <c r="A7" s="13" t="inlineStr">
        <is>
          <t>R6</t>
        </is>
      </c>
      <c r="B7" s="13" t="inlineStr">
        <is>
          <t>Offer plans used to cut places for under-resourced institutions.</t>
        </is>
      </c>
      <c r="C7" s="14" t="n">
        <v>2</v>
      </c>
      <c r="D7" s="14" t="n">
        <v>3</v>
      </c>
      <c r="E7" s="13">
        <f>C7*D7</f>
        <v/>
      </c>
      <c r="F7" s="13">
        <f>IF(E7&gt;=6,"High",IF(E7&gt;=3,"Medium","Low"))</f>
        <v/>
      </c>
      <c r="G7" s="13" t="inlineStr">
        <is>
          <t>Ethics Review Panel</t>
        </is>
      </c>
      <c r="H7" s="13" t="inlineStr">
        <is>
          <t>Named human approval on every offer plan; planner overrun monitored by group; incident plan covers misuse.</t>
        </is>
      </c>
      <c r="I7" s="13" t="inlineStr">
        <is>
          <t>Final Project</t>
        </is>
      </c>
      <c r="J7" s="13" t="inlineStr">
        <is>
          <t>Mitigating</t>
        </is>
      </c>
    </row>
    <row r="8" ht="23.85" customHeight="1" s="8">
      <c r="A8" s="13" t="inlineStr">
        <is>
          <t>R7</t>
        </is>
      </c>
      <c r="B8" s="13" t="inlineStr">
        <is>
          <t>Python models cannot run inside Cloudflare Workers.</t>
        </is>
      </c>
      <c r="C8" s="14" t="n">
        <v>2</v>
      </c>
      <c r="D8" s="14" t="n">
        <v>2</v>
      </c>
      <c r="E8" s="13">
        <f>C8*D8</f>
        <v/>
      </c>
      <c r="F8" s="13">
        <f>IF(E8&gt;=6,"High",IF(E8&gt;=3,"Medium","Low"))</f>
        <v/>
      </c>
      <c r="G8" s="13" t="inlineStr">
        <is>
          <t>Analyst</t>
        </is>
      </c>
      <c r="H8" s="13" t="inlineStr">
        <is>
          <t>Model served by FastAPI in a Docker image on Hugging Face; a Worker can front the API for tenants later.</t>
        </is>
      </c>
      <c r="I8" s="13" t="inlineStr">
        <is>
          <t>Sprint 3</t>
        </is>
      </c>
      <c r="J8" s="13" t="inlineStr">
        <is>
          <t>Closed</t>
        </is>
      </c>
    </row>
    <row r="9" ht="23.85" customHeight="1" s="8">
      <c r="A9" s="13" t="inlineStr">
        <is>
          <t>R8</t>
        </is>
      </c>
      <c r="B9" s="13" t="inlineStr">
        <is>
          <t>One analyst cannot deliver pipeline, model and dashboard in four sprints.</t>
        </is>
      </c>
      <c r="C9" s="14" t="n">
        <v>3</v>
      </c>
      <c r="D9" s="14" t="n">
        <v>2</v>
      </c>
      <c r="E9" s="13">
        <f>C9*D9</f>
        <v/>
      </c>
      <c r="F9" s="13">
        <f>IF(E9&gt;=6,"High",IF(E9&gt;=3,"Medium","Low"))</f>
        <v/>
      </c>
      <c r="G9" s="13" t="inlineStr">
        <is>
          <t>Analyst</t>
        </is>
      </c>
      <c r="H9" s="13" t="inlineStr">
        <is>
          <t>Prioritise tickets each sprint and defer dashboard extras before model or fairness work.</t>
        </is>
      </c>
      <c r="I9" s="13" t="inlineStr">
        <is>
          <t>All</t>
        </is>
      </c>
      <c r="J9" s="13" t="inlineStr">
        <is>
          <t>Open</t>
        </is>
      </c>
    </row>
    <row r="10" ht="23.85" customHeight="1" s="8">
      <c r="A10" s="13" t="inlineStr">
        <is>
          <t>R9</t>
        </is>
      </c>
      <c r="B10" s="13" t="inlineStr">
        <is>
          <t>Private for-profit institutions fall to a 0.83 representation ratio in the modelling set after completeness filters (Module 3).</t>
        </is>
      </c>
      <c r="C10" s="14" t="n">
        <v>3</v>
      </c>
      <c r="D10" s="14" t="n">
        <v>2</v>
      </c>
      <c r="E10" s="13">
        <f>C10*D10</f>
        <v/>
      </c>
      <c r="F10" s="13">
        <f>IF(E10&gt;=6,"High",IF(E10&gt;=3,"Medium","Low"))</f>
        <v/>
      </c>
      <c r="G10" s="13" t="inlineStr">
        <is>
          <t>Analyst</t>
        </is>
      </c>
      <c r="H10" s="13" t="inlineStr">
        <is>
          <t>Disclosed in the model card; representation checked in every monitoring run with amber below 0.90 and red below 0.80.</t>
        </is>
      </c>
      <c r="I10" s="13" t="inlineStr">
        <is>
          <t>Final Project</t>
        </is>
      </c>
      <c r="J10" s="13" t="inlineStr">
        <is>
          <t>Mitigating</t>
        </is>
      </c>
    </row>
    <row r="11" ht="23.85" customHeight="1" s="8">
      <c r="A11" s="13" t="inlineStr">
        <is>
          <t>R10</t>
        </is>
      </c>
      <c r="B11" s="13" t="inlineStr">
        <is>
          <t>Yield-drop alerts fire unevenly: disparate impact 0.29, with false alarms 2.19 and 3.09 times the overall rate for small and for-profit institutions.</t>
        </is>
      </c>
      <c r="C11" s="14" t="n">
        <v>3</v>
      </c>
      <c r="D11" s="14" t="n">
        <v>2</v>
      </c>
      <c r="E11" s="13">
        <f>C11*D11</f>
        <v/>
      </c>
      <c r="F11" s="13">
        <f>IF(E11&gt;=6,"High",IF(E11&gt;=3,"Medium","Low"))</f>
        <v/>
      </c>
      <c r="G11" s="13" t="inlineStr">
        <is>
          <t>Ethics Review Panel</t>
        </is>
      </c>
      <c r="H11" s="13" t="inlineStr">
        <is>
          <t>Equalized-odds thresholds rejected; alerts for those groups proposed only when the interval excludes last year's yield; incident open.</t>
        </is>
      </c>
      <c r="I11" s="13" t="inlineStr">
        <is>
          <t>Final Project</t>
        </is>
      </c>
      <c r="J11" s="13" t="inlineStr">
        <is>
          <t>Open</t>
        </is>
      </c>
    </row>
    <row r="12" ht="23.85" customHeight="1" s="8">
      <c r="A12" s="13" t="inlineStr">
        <is>
          <t>R11</t>
        </is>
      </c>
      <c r="B12" s="13" t="inlineStr">
        <is>
          <t>The offer planner keeps overruns to 7.2% but fills a median 83% of places, against 98% for the simple rule.</t>
        </is>
      </c>
      <c r="C12" s="14" t="n">
        <v>2</v>
      </c>
      <c r="D12" s="14" t="n">
        <v>2</v>
      </c>
      <c r="E12" s="13">
        <f>C12*D12</f>
        <v/>
      </c>
      <c r="F12" s="13">
        <f>IF(E12&gt;=6,"High",IF(E12&gt;=3,"Medium","Low"))</f>
        <v/>
      </c>
      <c r="G12" s="13" t="inlineStr">
        <is>
          <t>Product team</t>
        </is>
      </c>
      <c r="H12" s="13" t="inlineStr">
        <is>
          <t>Partners set capacity and review the 10% risk tolerance with the panel; median fill monitored each cycle.</t>
        </is>
      </c>
      <c r="I12" s="13" t="inlineStr">
        <is>
          <t>Final Project</t>
        </is>
      </c>
      <c r="J12" s="13" t="inlineStr">
        <is>
          <t>Open</t>
        </is>
      </c>
    </row>
  </sheetData>
  <dataValidations count="2">
    <dataValidation sqref="C2:D12" showDropDown="0" showInputMessage="0" showErrorMessage="0" allowBlank="0" type="whole" errorStyle="stop" operator="between">
      <formula1>1</formula1>
      <formula2>3</formula2>
    </dataValidation>
    <dataValidation sqref="J2:J12" showDropDown="0" showInputMessage="0" showErrorMessage="0" allowBlank="0" type="list" errorStyle="stop" operator="between">
      <formula1>"Open,Mitigating,Closed"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E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7" min="1" max="1"/>
    <col width="60" customWidth="1" style="7" min="2" max="2"/>
    <col width="50" customWidth="1" style="7" min="3" max="3"/>
    <col width="14" customWidth="1" style="7" min="4" max="4"/>
    <col width="12" customWidth="1" style="7" min="5" max="5"/>
  </cols>
  <sheetData>
    <row r="1" ht="15" customHeight="1" s="8">
      <c r="A1" s="12" t="inlineStr">
        <is>
          <t>ID</t>
        </is>
      </c>
      <c r="B1" s="12" t="inlineStr">
        <is>
          <t>Assumption</t>
        </is>
      </c>
      <c r="C1" s="12" t="inlineStr">
        <is>
          <t>Validation</t>
        </is>
      </c>
      <c r="D1" s="12" t="inlineStr">
        <is>
          <t>Owner</t>
        </is>
      </c>
      <c r="E1" s="12" t="inlineStr">
        <is>
          <t>Validate by</t>
        </is>
      </c>
    </row>
    <row r="2" ht="23.85" customHeight="1" s="8">
      <c r="A2" s="13" t="inlineStr">
        <is>
          <t>A1</t>
        </is>
      </c>
      <c r="B2" s="13" t="inlineStr">
        <is>
          <t>Institution-level yield drivers in US data carry over structurally to Nigerian private universities until partner data exist.</t>
        </is>
      </c>
      <c r="C2" s="13" t="inlineStr">
        <is>
          <t>Shadow pilot with two or three Nigerian partners for one cycle before any release.</t>
        </is>
      </c>
      <c r="D2" s="13" t="inlineStr">
        <is>
          <t>Analyst</t>
        </is>
      </c>
      <c r="E2" s="13" t="inlineStr">
        <is>
          <t>Partner pilot</t>
        </is>
      </c>
    </row>
    <row r="3" ht="15" customHeight="1" s="8">
      <c r="A3" s="13" t="inlineStr">
        <is>
          <t>A2</t>
        </is>
      </c>
      <c r="B3" s="13" t="inlineStr">
        <is>
          <t>NCES keeps publishing the admissions component annually in the same structure.</t>
        </is>
      </c>
      <c r="C3" s="13" t="inlineStr">
        <is>
          <t>Schema checks in CI flag any change on load.</t>
        </is>
      </c>
      <c r="D3" s="13" t="inlineStr">
        <is>
          <t>Analyst</t>
        </is>
      </c>
      <c r="E3" s="13" t="inlineStr">
        <is>
          <t>Sprint 2</t>
        </is>
      </c>
    </row>
    <row r="4" ht="23.85" customHeight="1" s="8">
      <c r="A4" s="13" t="inlineStr">
        <is>
          <t>A3</t>
        </is>
      </c>
      <c r="B4" s="13" t="inlineStr">
        <is>
          <t>Institution-level aggregates are enough for offer planning without applicant records.</t>
        </is>
      </c>
      <c r="C4" s="13" t="inlineStr">
        <is>
          <t>Offer planner delivered on aggregates only; confirm with admissions directors in the shadow pilot.</t>
        </is>
      </c>
      <c r="D4" s="13" t="inlineStr">
        <is>
          <t>Product team</t>
        </is>
      </c>
      <c r="E4" s="13" t="inlineStr">
        <is>
          <t>Partner pilot</t>
        </is>
      </c>
    </row>
    <row r="5" ht="15" customHeight="1" s="8">
      <c r="A5" s="13" t="inlineStr">
        <is>
          <t>A4</t>
        </is>
      </c>
      <c r="B5" s="13" t="inlineStr">
        <is>
          <t>Partners will share aggregated cycle counts under a data processing agreement.</t>
        </is>
      </c>
      <c r="C5" s="13" t="inlineStr">
        <is>
          <t>Draft the agreement with the first partner's data protection lead.</t>
        </is>
      </c>
      <c r="D5" s="13" t="inlineStr">
        <is>
          <t>Co-founder</t>
        </is>
      </c>
      <c r="E5" s="13" t="inlineStr">
        <is>
          <t>Sprint 4</t>
        </is>
      </c>
    </row>
    <row r="6" ht="15" customHeight="1" s="8">
      <c r="A6" s="13" t="inlineStr">
        <is>
          <t>A5</t>
        </is>
      </c>
      <c r="B6" s="13" t="inlineStr">
        <is>
          <t>The Ethics Review Panel can review each sprint's release within one week.</t>
        </is>
      </c>
      <c r="C6" s="13" t="inlineStr">
        <is>
          <t>Book review sessions at sprint planning.</t>
        </is>
      </c>
      <c r="D6" s="13" t="inlineStr">
        <is>
          <t>Co-founder</t>
        </is>
      </c>
      <c r="E6" s="13" t="inlineStr">
        <is>
          <t>All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F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7" min="1" max="1"/>
    <col width="58" customWidth="1" style="7" min="2" max="2"/>
    <col width="10" customWidth="1" style="7" min="3" max="3"/>
    <col width="12" customWidth="1" style="7" min="4" max="4"/>
    <col width="52" customWidth="1" style="7" min="5" max="5"/>
    <col width="11" customWidth="1" style="7" min="6" max="6"/>
  </cols>
  <sheetData>
    <row r="1" ht="15" customHeight="1" s="8">
      <c r="A1" s="12" t="inlineStr">
        <is>
          <t>ID</t>
        </is>
      </c>
      <c r="B1" s="12" t="inlineStr">
        <is>
          <t>Issue</t>
        </is>
      </c>
      <c r="C1" s="12" t="inlineStr">
        <is>
          <t>Severity</t>
        </is>
      </c>
      <c r="D1" s="12" t="inlineStr">
        <is>
          <t>Owner</t>
        </is>
      </c>
      <c r="E1" s="12" t="inlineStr">
        <is>
          <t>Response</t>
        </is>
      </c>
      <c r="F1" s="12" t="inlineStr">
        <is>
          <t>Status</t>
        </is>
      </c>
    </row>
    <row r="2" ht="15" customHeight="1" s="8">
      <c r="A2" s="13" t="inlineStr">
        <is>
          <t>I1</t>
        </is>
      </c>
      <c r="B2" s="13" t="inlineStr">
        <is>
          <t>Header spelling and text encodings differ between IPEDS files.</t>
        </is>
      </c>
      <c r="C2" s="13" t="inlineStr">
        <is>
          <t>High</t>
        </is>
      </c>
      <c r="D2" s="13" t="inlineStr">
        <is>
          <t>Analyst</t>
        </is>
      </c>
      <c r="E2" s="13" t="inlineStr">
        <is>
          <t>read_ipeds_csv normalises headers and strips the byte-order mark.</t>
        </is>
      </c>
      <c r="F2" s="13" t="inlineStr">
        <is>
          <t>Resolved</t>
        </is>
      </c>
    </row>
    <row r="3" ht="15" customHeight="1" s="8">
      <c r="A3" s="13" t="inlineStr">
        <is>
          <t>I2</t>
        </is>
      </c>
      <c r="B3" s="13" t="inlineStr">
        <is>
          <t>89 records report applicants without usable admit or enrolment counts.</t>
        </is>
      </c>
      <c r="C3" s="13" t="inlineStr">
        <is>
          <t>Medium</t>
        </is>
      </c>
      <c r="D3" s="13" t="inlineStr">
        <is>
          <t>Analyst</t>
        </is>
      </c>
      <c r="E3" s="13" t="inlineStr">
        <is>
          <t>Excluded from the yield target; the demand model is deferred to the partner pilot.</t>
        </is>
      </c>
      <c r="F3" s="13" t="inlineStr">
        <is>
          <t>Accepted</t>
        </is>
      </c>
    </row>
    <row r="4" ht="15" customHeight="1" s="8">
      <c r="A4" s="13" t="inlineStr">
        <is>
          <t>I3</t>
        </is>
      </c>
      <c r="B4" s="13" t="inlineStr">
        <is>
          <t>Only two tribal colleges report, too few for group evaluation.</t>
        </is>
      </c>
      <c r="C4" s="13" t="inlineStr">
        <is>
          <t>Medium</t>
        </is>
      </c>
      <c r="D4" s="13" t="inlineStr">
        <is>
          <t>Analyst</t>
        </is>
      </c>
      <c r="E4" s="13" t="inlineStr">
        <is>
          <t>Reported as unassessed in the fairness report, dashboard and monitoring until 30 institutions appear.</t>
        </is>
      </c>
      <c r="F4" s="13" t="inlineStr">
        <is>
          <t>Accepted</t>
        </is>
      </c>
    </row>
    <row r="5" ht="15" customHeight="1" s="8">
      <c r="A5" s="13" t="inlineStr">
        <is>
          <t>I4</t>
        </is>
      </c>
      <c r="B5" s="13" t="inlineStr">
        <is>
          <t>The naive baseline already breaches the 1.25 fairness ratio for three groups.</t>
        </is>
      </c>
      <c r="C5" s="13" t="inlineStr">
        <is>
          <t>High</t>
        </is>
      </c>
      <c r="D5" s="13" t="inlineStr">
        <is>
          <t>Analyst</t>
        </is>
      </c>
      <c r="E5" s="13" t="inlineStr">
        <is>
          <t>Model resolves the HBCU gap (1.01); small and for-profit gaps remain and are tracked as R1 and an open incident.</t>
        </is>
      </c>
      <c r="F5" s="13" t="inlineStr">
        <is>
          <t>Open</t>
        </is>
      </c>
    </row>
    <row r="6" ht="23.85" customHeight="1" s="8">
      <c r="A6" s="13" t="inlineStr">
        <is>
          <t>I5</t>
        </is>
      </c>
      <c r="B6" s="13" t="inlineStr">
        <is>
          <t>IPEDS splits the funnel by gender only, so applicant demographics cannot be audited.</t>
        </is>
      </c>
      <c r="C6" s="13" t="inlineStr">
        <is>
          <t>Low</t>
        </is>
      </c>
      <c r="D6" s="13" t="inlineStr">
        <is>
          <t>Analyst</t>
        </is>
      </c>
      <c r="E6" s="13" t="inlineStr">
        <is>
          <t>Limit fairness claims to institution groups and state the limit in the model card.</t>
        </is>
      </c>
      <c r="F6" s="13" t="inlineStr">
        <is>
          <t>Accepted</t>
        </is>
      </c>
    </row>
    <row r="7" ht="23.85" customHeight="1" s="8">
      <c r="A7" s="13" t="inlineStr">
        <is>
          <t>I6</t>
        </is>
      </c>
      <c r="B7" s="13" t="inlineStr">
        <is>
          <t>Carnegie class is blank for 8.3% of institutions in both cycles, so an absolute missing-input trigger fires on the training data itself.</t>
        </is>
      </c>
      <c r="C7" s="13" t="inlineStr">
        <is>
          <t>Medium</t>
        </is>
      </c>
      <c r="D7" s="13" t="inlineStr">
        <is>
          <t>Analyst</t>
        </is>
      </c>
      <c r="E7" s="13" t="inlineStr">
        <is>
          <t>Missing-input monitoring compares against the training cycle's share.</t>
        </is>
      </c>
      <c r="F7" s="13" t="inlineStr">
        <is>
          <t>Resolved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6" customWidth="1" style="7" min="1" max="1"/>
    <col width="46" customWidth="1" style="7" min="2" max="2"/>
    <col width="34" customWidth="1" style="7" min="3" max="3"/>
    <col width="14" customWidth="1" style="7" min="4" max="4"/>
    <col width="52" customWidth="1" style="7" min="5" max="5"/>
  </cols>
  <sheetData>
    <row r="1" ht="15" customHeight="1" s="8">
      <c r="A1" s="12" t="inlineStr">
        <is>
          <t>ID</t>
        </is>
      </c>
      <c r="B1" s="12" t="inlineStr">
        <is>
          <t>Dependency</t>
        </is>
      </c>
      <c r="C1" s="12" t="inlineStr">
        <is>
          <t>Provider</t>
        </is>
      </c>
      <c r="D1" s="12" t="inlineStr">
        <is>
          <t>Needed by</t>
        </is>
      </c>
      <c r="E1" s="12" t="inlineStr">
        <is>
          <t>Contingency</t>
        </is>
      </c>
    </row>
    <row r="2" ht="23.85" customHeight="1" s="8">
      <c r="A2" s="13" t="inlineStr">
        <is>
          <t>D1</t>
        </is>
      </c>
      <c r="B2" s="13" t="inlineStr">
        <is>
          <t>IPEDS annual data releases</t>
        </is>
      </c>
      <c r="C2" s="13" t="inlineStr">
        <is>
          <t>NCES (external)</t>
        </is>
      </c>
      <c r="D2" s="13" t="inlineStr">
        <is>
          <t>Sprint 2</t>
        </is>
      </c>
      <c r="E2" s="13" t="inlineStr">
        <is>
          <t>Raw files committed and tagged, so work continues if the portal is down.</t>
        </is>
      </c>
    </row>
    <row r="3" ht="15" customHeight="1" s="8">
      <c r="A3" s="13" t="inlineStr">
        <is>
          <t>D2</t>
        </is>
      </c>
      <c r="B3" s="13" t="inlineStr">
        <is>
          <t>Hosting for the API (Hugging Face Space), dashboard (Streamlit Community Cloud) and monitoring site (GitHub Pages)</t>
        </is>
      </c>
      <c r="C3" s="13" t="inlineStr">
        <is>
          <t>Hugging Face, Streamlit, GitHub</t>
        </is>
      </c>
      <c r="D3" s="13" t="inlineStr">
        <is>
          <t>Final Project</t>
        </is>
      </c>
      <c r="E3" s="13" t="inlineStr">
        <is>
          <t>Docker Compose runs the full stack locally if a host is unavailable.</t>
        </is>
      </c>
    </row>
    <row r="4" ht="23.85" customHeight="1" s="8">
      <c r="A4" s="13" t="inlineStr">
        <is>
          <t>D3</t>
        </is>
      </c>
      <c r="B4" s="13" t="inlineStr">
        <is>
          <t>Pinned Python libraries (pandas, LightGBM, Fairlearn, SHAP, MLflow)</t>
        </is>
      </c>
      <c r="C4" s="13" t="inlineStr">
        <is>
          <t>Open-source maintainers</t>
        </is>
      </c>
      <c r="D4" s="13" t="inlineStr">
        <is>
          <t>All</t>
        </is>
      </c>
      <c r="E4" s="13" t="inlineStr">
        <is>
          <t>Versions pinned in requirements.txt and tested in CI.</t>
        </is>
      </c>
    </row>
    <row r="5" ht="23.85" customHeight="1" s="8">
      <c r="A5" s="13" t="inlineStr">
        <is>
          <t>D4</t>
        </is>
      </c>
      <c r="B5" s="13" t="inlineStr">
        <is>
          <t>Ethics Review Panel sign-off</t>
        </is>
      </c>
      <c r="C5" s="13" t="inlineStr">
        <is>
          <t>Co-founder, partner data protection leads, external adviser</t>
        </is>
      </c>
      <c r="D5" s="13" t="inlineStr">
        <is>
          <t>Sprints 3 to 5</t>
        </is>
      </c>
      <c r="E5" s="13" t="inlineStr">
        <is>
          <t>No release without sign-off.</t>
        </is>
      </c>
    </row>
    <row r="6" ht="15" customHeight="1" s="8">
      <c r="A6" s="13" t="inlineStr">
        <is>
          <t>D5</t>
        </is>
      </c>
      <c r="B6" s="13" t="inlineStr">
        <is>
          <t>Admissio tenant API exposing aggregated cycle counts</t>
        </is>
      </c>
      <c r="C6" s="13" t="inlineStr">
        <is>
          <t>Admissio product team</t>
        </is>
      </c>
      <c r="D6" s="13" t="inlineStr">
        <is>
          <t>Sprint 5</t>
        </is>
      </c>
      <c r="E6" s="13" t="inlineStr">
        <is>
          <t>IPEDS-only release proceeds if the API is late.</t>
        </is>
      </c>
    </row>
    <row r="7" ht="15" customHeight="1" s="8">
      <c r="A7" s="13" t="inlineStr">
        <is>
          <t>D6</t>
        </is>
      </c>
      <c r="B7" s="13" t="inlineStr">
        <is>
          <t>GitHub Actions continuous integration</t>
        </is>
      </c>
      <c r="C7" s="13" t="inlineStr">
        <is>
          <t>GitHub</t>
        </is>
      </c>
      <c r="D7" s="13" t="inlineStr">
        <is>
          <t>All</t>
        </is>
      </c>
      <c r="E7" s="13" t="inlineStr">
        <is>
          <t>Tests run locally with pytest when CI is unavailable.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2026-10-07T00:02:15Z</dcterms:created>
  <dcterms:modified xsi:type="dcterms:W3CDTF">2026-10-25T21:28:52Z</dcterms:modified>
  <cp:revision>0</cp:revision>
</cp:coreProperties>
</file>
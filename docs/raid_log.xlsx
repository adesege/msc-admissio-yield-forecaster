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isks" sheetId="2" state="visible" r:id="rId4"/>
    <sheet name="Assumptions" sheetId="3" state="visible" r:id="rId5"/>
    <sheet name="Issues" sheetId="4" state="visible" r:id="rId6"/>
    <sheet name="Dependenc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<sst xmlns="http://schemas.openxmlformats.org/spreadsheetml/2006/main" count="169" uniqueCount="124">
  <si>
    <t xml:space="preserve">Admissio Yield Forecaster: Technical RAID log</t>
  </si>
  <si>
    <t xml:space="preserve">Risks</t>
  </si>
  <si>
    <t xml:space="preserve">High-rated risks</t>
  </si>
  <si>
    <t xml:space="preserve">Open or mitigating risks</t>
  </si>
  <si>
    <t xml:space="preserve">Assumptions</t>
  </si>
  <si>
    <t xml:space="preserve">Open issues</t>
  </si>
  <si>
    <t xml:space="preserve">Dependencies</t>
  </si>
  <si>
    <t xml:space="preserve">Scoring: Score = Likelihood x Impact. High is 6 or more, Medium 3 to 5, Low below 3.</t>
  </si>
  <si>
    <t xml:space="preserve">Blue cells on the Risks sheet are inputs; edit them when a risk is reassessed at sprint review.</t>
  </si>
  <si>
    <t xml:space="preserve">Baseline ratios in R1 and I4 come from python -m src.models.baseline on the 2024 IPEDS holdout.</t>
  </si>
  <si>
    <t xml:space="preserve">ID</t>
  </si>
  <si>
    <t xml:space="preserve">Risk</t>
  </si>
  <si>
    <t xml:space="preserve">Likelihood (1-3)</t>
  </si>
  <si>
    <t xml:space="preserve">Impact (1-3)</t>
  </si>
  <si>
    <t xml:space="preserve">Score</t>
  </si>
  <si>
    <t xml:space="preserve">Rating</t>
  </si>
  <si>
    <t xml:space="preserve">Owner</t>
  </si>
  <si>
    <t xml:space="preserve">Mitigation</t>
  </si>
  <si>
    <t xml:space="preserve">Sprint</t>
  </si>
  <si>
    <t xml:space="preserve">Status</t>
  </si>
  <si>
    <t xml:space="preserve">R1</t>
  </si>
  <si>
    <t xml:space="preserve">Forecast error stays higher for small, for-profit and HBCU institutions (baseline ratios 2.71, 3.81 and 1.39 against a 1.25 limit).</t>
  </si>
  <si>
    <t xml:space="preserve">Analyst</t>
  </si>
  <si>
    <t xml:space="preserve">Train on pooled peers with group-weighted loss, report Fairlearn group error at every run and block releases above 1.25.</t>
  </si>
  <si>
    <t xml:space="preserve">Sprint 3</t>
  </si>
  <si>
    <t xml:space="preserve">Open</t>
  </si>
  <si>
    <t xml:space="preserve">R2</t>
  </si>
  <si>
    <t xml:space="preserve">Three IPEDS years give too little history for per-institution time-series models.</t>
  </si>
  <si>
    <t xml:space="preserve">Pool institutions in one panel model and add earlier ADM releases if holdout error does not fall.</t>
  </si>
  <si>
    <t xml:space="preserve">Sprint 2</t>
  </si>
  <si>
    <t xml:space="preserve">R3</t>
  </si>
  <si>
    <t xml:space="preserve">Admission test policy changes (88 institutions in 2024) break historical yield patterns.</t>
  </si>
  <si>
    <t xml:space="preserve">Add a policy-change feature and report error separately for changed institutions.</t>
  </si>
  <si>
    <t xml:space="preserve">R4</t>
  </si>
  <si>
    <t xml:space="preserve">New IPEDS releases change headers, encodings or codes.</t>
  </si>
  <si>
    <t xml:space="preserve">Validate every load against the pandera schema in CI so drift fails the build.</t>
  </si>
  <si>
    <t xml:space="preserve">Mitigating</t>
  </si>
  <si>
    <t xml:space="preserve">R5</t>
  </si>
  <si>
    <t xml:space="preserve">Partner tenant data leak once Admissio aggregates enter the pipeline.</t>
  </si>
  <si>
    <t xml:space="preserve">Product team</t>
  </si>
  <si>
    <t xml:space="preserve">Aggregate inside each tenant, collect only counts, encrypt at rest in R2 and scope API keys per tenant.</t>
  </si>
  <si>
    <t xml:space="preserve">Sprint 4</t>
  </si>
  <si>
    <t xml:space="preserve">R6</t>
  </si>
  <si>
    <t xml:space="preserve">Offer plans used to cut places for under-resourced institutions.</t>
  </si>
  <si>
    <t xml:space="preserve">Ethics Review Panel</t>
  </si>
  <si>
    <t xml:space="preserve">Require named human approval of each offer plan and log every approval.</t>
  </si>
  <si>
    <t xml:space="preserve">R7</t>
  </si>
  <si>
    <t xml:space="preserve">Python models cannot run inside Cloudflare Workers.</t>
  </si>
  <si>
    <t xml:space="preserve">Serve precomputed forecasts and intervals as JSON from R2 through the Worker.</t>
  </si>
  <si>
    <t xml:space="preserve">R8</t>
  </si>
  <si>
    <t xml:space="preserve">One analyst cannot deliver pipeline, model and dashboard in four sprints.</t>
  </si>
  <si>
    <t xml:space="preserve">Prioritise tickets each sprint and defer dashboard extras before model or fairness work.</t>
  </si>
  <si>
    <t xml:space="preserve">All</t>
  </si>
  <si>
    <t xml:space="preserve">Assumption</t>
  </si>
  <si>
    <t xml:space="preserve">Validation</t>
  </si>
  <si>
    <t xml:space="preserve">Validate by</t>
  </si>
  <si>
    <t xml:space="preserve">A1</t>
  </si>
  <si>
    <t xml:space="preserve">Institution-level yield drivers in US data carry over structurally to Nigerian private universities until partner data exist.</t>
  </si>
  <si>
    <t xml:space="preserve">Compare first partner cycles against forecasts before any production use.</t>
  </si>
  <si>
    <t xml:space="preserve">Sprint 5</t>
  </si>
  <si>
    <t xml:space="preserve">A2</t>
  </si>
  <si>
    <t xml:space="preserve">NCES keeps publishing the admissions component annually in the same structure.</t>
  </si>
  <si>
    <t xml:space="preserve">Schema checks in CI flag any change on load.</t>
  </si>
  <si>
    <t xml:space="preserve">A3</t>
  </si>
  <si>
    <t xml:space="preserve">Institution-level aggregates are enough for offer planning without applicant records.</t>
  </si>
  <si>
    <t xml:space="preserve">Confirm with admissions directors during the Sprint 4 review.</t>
  </si>
  <si>
    <t xml:space="preserve">A4</t>
  </si>
  <si>
    <t xml:space="preserve">Partners will share aggregated cycle counts under a data processing agreement.</t>
  </si>
  <si>
    <t xml:space="preserve">Draft the agreement with the first partner's data protection lead.</t>
  </si>
  <si>
    <t xml:space="preserve">Co-founder</t>
  </si>
  <si>
    <t xml:space="preserve">A5</t>
  </si>
  <si>
    <t xml:space="preserve">The Ethics Review Panel can review each sprint's release within one week.</t>
  </si>
  <si>
    <t xml:space="preserve">Book review sessions at sprint planning.</t>
  </si>
  <si>
    <t xml:space="preserve">Issue</t>
  </si>
  <si>
    <t xml:space="preserve">Severity</t>
  </si>
  <si>
    <t xml:space="preserve">Response</t>
  </si>
  <si>
    <t xml:space="preserve">I1</t>
  </si>
  <si>
    <t xml:space="preserve">Header spelling and text encodings differ between IPEDS files.</t>
  </si>
  <si>
    <t xml:space="preserve">High</t>
  </si>
  <si>
    <t xml:space="preserve">read_ipeds_csv normalises headers and strips the byte-order mark.</t>
  </si>
  <si>
    <t xml:space="preserve">Resolved</t>
  </si>
  <si>
    <t xml:space="preserve">I2</t>
  </si>
  <si>
    <t xml:space="preserve">89 records report applicants without usable admit or enrolment counts.</t>
  </si>
  <si>
    <t xml:space="preserve">Medium</t>
  </si>
  <si>
    <t xml:space="preserve">Exclude from the yield target and keep for the demand model.</t>
  </si>
  <si>
    <t xml:space="preserve">I3</t>
  </si>
  <si>
    <t xml:space="preserve">Only two tribal colleges report, too few for group evaluation.</t>
  </si>
  <si>
    <t xml:space="preserve">Report the group as unassessed on the dashboard.</t>
  </si>
  <si>
    <t xml:space="preserve">I4</t>
  </si>
  <si>
    <t xml:space="preserve">The naive baseline already breaches the 1.25 fairness ratio for three groups.</t>
  </si>
  <si>
    <t xml:space="preserve">Treat as the Sprint 3 acceptance test for the new model.</t>
  </si>
  <si>
    <t xml:space="preserve">I5</t>
  </si>
  <si>
    <t xml:space="preserve">IPEDS splits the funnel by gender only, so applicant demographics cannot be audited.</t>
  </si>
  <si>
    <t xml:space="preserve">Low</t>
  </si>
  <si>
    <t xml:space="preserve">Limit fairness claims to institution groups and state the limit in the model card.</t>
  </si>
  <si>
    <t xml:space="preserve">Accepted</t>
  </si>
  <si>
    <t xml:space="preserve">Dependency</t>
  </si>
  <si>
    <t xml:space="preserve">Provider</t>
  </si>
  <si>
    <t xml:space="preserve">Needed by</t>
  </si>
  <si>
    <t xml:space="preserve">Contingency</t>
  </si>
  <si>
    <t xml:space="preserve">D1</t>
  </si>
  <si>
    <t xml:space="preserve">IPEDS annual data releases</t>
  </si>
  <si>
    <t xml:space="preserve">NCES (external)</t>
  </si>
  <si>
    <t xml:space="preserve">Raw files committed and tagged, so work continues if the portal is down.</t>
  </si>
  <si>
    <t xml:space="preserve">D2</t>
  </si>
  <si>
    <t xml:space="preserve">Cloudflare R2 and Workers on the Admissio account</t>
  </si>
  <si>
    <t xml:space="preserve">Admissio product team</t>
  </si>
  <si>
    <t xml:space="preserve">Provision a separate project namespace early.</t>
  </si>
  <si>
    <t xml:space="preserve">D3</t>
  </si>
  <si>
    <t xml:space="preserve">Pinned Python libraries (pandas, LightGBM, Fairlearn, SHAP, MLflow)</t>
  </si>
  <si>
    <t xml:space="preserve">Open-source maintainers</t>
  </si>
  <si>
    <t xml:space="preserve">Versions pinned in requirements.txt and tested in CI.</t>
  </si>
  <si>
    <t xml:space="preserve">D4</t>
  </si>
  <si>
    <t xml:space="preserve">Ethics Review Panel sign-off</t>
  </si>
  <si>
    <t xml:space="preserve">Co-founder, partner data protection leads, external adviser</t>
  </si>
  <si>
    <t xml:space="preserve">Sprints 3 to 5</t>
  </si>
  <si>
    <t xml:space="preserve">No release without sign-off.</t>
  </si>
  <si>
    <t xml:space="preserve">D5</t>
  </si>
  <si>
    <t xml:space="preserve">Admissio tenant API exposing aggregated cycle counts</t>
  </si>
  <si>
    <t xml:space="preserve">IPEDS-only release proceeds if the API is late.</t>
  </si>
  <si>
    <t xml:space="preserve">D6</t>
  </si>
  <si>
    <t xml:space="preserve">GitHub Actions continuous integration</t>
  </si>
  <si>
    <t xml:space="preserve">GitHub</t>
  </si>
  <si>
    <t xml:space="preserve">Tests run locally with pytest when CI is unavailable.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</si>
</sst>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sz val="10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color rgb="FF0000FF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2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n">
        <f aca="false">COUNTA(Risks!A2:A100)</f>
        <v>8</v>
      </c>
    </row>
    <row r="4" customFormat="false" ht="15" hidden="false" customHeight="false" outlineLevel="0" collapsed="false">
      <c r="A4" s="2" t="s">
        <v>2</v>
      </c>
      <c r="B4" s="2" t="n">
        <f aca="false">COUNTIF(Risks!F2:F100,"High")</f>
        <v>5</v>
      </c>
    </row>
    <row r="5" customFormat="false" ht="15" hidden="false" customHeight="false" outlineLevel="0" collapsed="false">
      <c r="A5" s="2" t="s">
        <v>3</v>
      </c>
      <c r="B5" s="2" t="n">
        <f aca="false">COUNTIF(Risks!J2:J100,"Open")+COUNTIF(Risks!J2:J100,"Mitigating")</f>
        <v>8</v>
      </c>
    </row>
    <row r="6" customFormat="false" ht="15" hidden="false" customHeight="false" outlineLevel="0" collapsed="false">
      <c r="A6" s="2" t="s">
        <v>4</v>
      </c>
      <c r="B6" s="2" t="n">
        <f aca="false">COUNTA(Assumptions!A2:A100)</f>
        <v>5</v>
      </c>
    </row>
    <row r="7" customFormat="false" ht="15" hidden="false" customHeight="false" outlineLevel="0" collapsed="false">
      <c r="A7" s="2" t="s">
        <v>5</v>
      </c>
      <c r="B7" s="2" t="n">
        <f aca="false">COUNTIF(Issues!F2:F100,"Open")</f>
        <v>3</v>
      </c>
    </row>
    <row r="8" customFormat="false" ht="15" hidden="false" customHeight="false" outlineLevel="0" collapsed="false">
      <c r="A8" s="2" t="s">
        <v>6</v>
      </c>
      <c r="B8" s="2" t="n">
        <f aca="false">COUNTA(Dependencies!A2:A100)</f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5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</row>
    <row r="2" customFormat="false" ht="35.05" hidden="false" customHeight="false" outlineLevel="0" collapsed="false">
      <c r="A2" s="5" t="s">
        <v>20</v>
      </c>
      <c r="B2" s="5" t="s">
        <v>21</v>
      </c>
      <c r="C2" s="6" t="n">
        <v>3</v>
      </c>
      <c r="D2" s="6" t="n">
        <v>3</v>
      </c>
      <c r="E2" s="5" t="n">
        <f aca="false">C2*D2</f>
        <v>9</v>
      </c>
      <c r="F2" s="5" t="str">
        <f aca="false">IF(E2&gt;=6,"High",IF(E2&gt;=3,"Medium","Low"))</f>
        <v>High</v>
      </c>
      <c r="G2" s="5" t="s">
        <v>22</v>
      </c>
      <c r="H2" s="5" t="s">
        <v>23</v>
      </c>
      <c r="I2" s="5" t="s">
        <v>24</v>
      </c>
      <c r="J2" s="5" t="s">
        <v>25</v>
      </c>
    </row>
    <row r="3" customFormat="false" ht="23.85" hidden="false" customHeight="false" outlineLevel="0" collapsed="false">
      <c r="A3" s="5" t="s">
        <v>26</v>
      </c>
      <c r="B3" s="5" t="s">
        <v>27</v>
      </c>
      <c r="C3" s="6" t="n">
        <v>2</v>
      </c>
      <c r="D3" s="6" t="n">
        <v>3</v>
      </c>
      <c r="E3" s="5" t="n">
        <f aca="false">C3*D3</f>
        <v>6</v>
      </c>
      <c r="F3" s="5" t="str">
        <f aca="false">IF(E3&gt;=6,"High",IF(E3&gt;=3,"Medium","Low"))</f>
        <v>High</v>
      </c>
      <c r="G3" s="5" t="s">
        <v>22</v>
      </c>
      <c r="H3" s="5" t="s">
        <v>28</v>
      </c>
      <c r="I3" s="5" t="s">
        <v>29</v>
      </c>
      <c r="J3" s="5" t="s">
        <v>25</v>
      </c>
    </row>
    <row r="4" customFormat="false" ht="23.85" hidden="false" customHeight="false" outlineLevel="0" collapsed="false">
      <c r="A4" s="5" t="s">
        <v>30</v>
      </c>
      <c r="B4" s="5" t="s">
        <v>31</v>
      </c>
      <c r="C4" s="6" t="n">
        <v>2</v>
      </c>
      <c r="D4" s="6" t="n">
        <v>2</v>
      </c>
      <c r="E4" s="5" t="n">
        <f aca="false">C4*D4</f>
        <v>4</v>
      </c>
      <c r="F4" s="5" t="str">
        <f aca="false">IF(E4&gt;=6,"High",IF(E4&gt;=3,"Medium","Low"))</f>
        <v>Medium</v>
      </c>
      <c r="G4" s="5" t="s">
        <v>22</v>
      </c>
      <c r="H4" s="5" t="s">
        <v>32</v>
      </c>
      <c r="I4" s="5" t="s">
        <v>24</v>
      </c>
      <c r="J4" s="5" t="s">
        <v>25</v>
      </c>
    </row>
    <row r="5" customFormat="false" ht="23.85" hidden="false" customHeight="false" outlineLevel="0" collapsed="false">
      <c r="A5" s="5" t="s">
        <v>33</v>
      </c>
      <c r="B5" s="5" t="s">
        <v>34</v>
      </c>
      <c r="C5" s="6" t="n">
        <v>3</v>
      </c>
      <c r="D5" s="6" t="n">
        <v>2</v>
      </c>
      <c r="E5" s="5" t="n">
        <f aca="false">C5*D5</f>
        <v>6</v>
      </c>
      <c r="F5" s="5" t="str">
        <f aca="false">IF(E5&gt;=6,"High",IF(E5&gt;=3,"Medium","Low"))</f>
        <v>High</v>
      </c>
      <c r="G5" s="5" t="s">
        <v>22</v>
      </c>
      <c r="H5" s="5" t="s">
        <v>35</v>
      </c>
      <c r="I5" s="5" t="s">
        <v>29</v>
      </c>
      <c r="J5" s="5" t="s">
        <v>36</v>
      </c>
    </row>
    <row r="6" customFormat="false" ht="23.85" hidden="false" customHeight="false" outlineLevel="0" collapsed="false">
      <c r="A6" s="5" t="s">
        <v>37</v>
      </c>
      <c r="B6" s="5" t="s">
        <v>38</v>
      </c>
      <c r="C6" s="6" t="n">
        <v>1</v>
      </c>
      <c r="D6" s="6" t="n">
        <v>3</v>
      </c>
      <c r="E6" s="5" t="n">
        <f aca="false">C6*D6</f>
        <v>3</v>
      </c>
      <c r="F6" s="5" t="str">
        <f aca="false">IF(E6&gt;=6,"High",IF(E6&gt;=3,"Medium","Low"))</f>
        <v>Medium</v>
      </c>
      <c r="G6" s="5" t="s">
        <v>39</v>
      </c>
      <c r="H6" s="5" t="s">
        <v>40</v>
      </c>
      <c r="I6" s="5" t="s">
        <v>41</v>
      </c>
      <c r="J6" s="5" t="s">
        <v>25</v>
      </c>
    </row>
    <row r="7" customFormat="false" ht="23.85" hidden="false" customHeight="false" outlineLevel="0" collapsed="false">
      <c r="A7" s="5" t="s">
        <v>42</v>
      </c>
      <c r="B7" s="5" t="s">
        <v>43</v>
      </c>
      <c r="C7" s="6" t="n">
        <v>2</v>
      </c>
      <c r="D7" s="6" t="n">
        <v>3</v>
      </c>
      <c r="E7" s="5" t="n">
        <f aca="false">C7*D7</f>
        <v>6</v>
      </c>
      <c r="F7" s="5" t="str">
        <f aca="false">IF(E7&gt;=6,"High",IF(E7&gt;=3,"Medium","Low"))</f>
        <v>High</v>
      </c>
      <c r="G7" s="5" t="s">
        <v>44</v>
      </c>
      <c r="H7" s="5" t="s">
        <v>45</v>
      </c>
      <c r="I7" s="5" t="s">
        <v>41</v>
      </c>
      <c r="J7" s="5" t="s">
        <v>25</v>
      </c>
    </row>
    <row r="8" customFormat="false" ht="23.85" hidden="false" customHeight="false" outlineLevel="0" collapsed="false">
      <c r="A8" s="5" t="s">
        <v>46</v>
      </c>
      <c r="B8" s="5" t="s">
        <v>47</v>
      </c>
      <c r="C8" s="6" t="n">
        <v>2</v>
      </c>
      <c r="D8" s="6" t="n">
        <v>2</v>
      </c>
      <c r="E8" s="5" t="n">
        <f aca="false">C8*D8</f>
        <v>4</v>
      </c>
      <c r="F8" s="5" t="str">
        <f aca="false">IF(E8&gt;=6,"High",IF(E8&gt;=3,"Medium","Low"))</f>
        <v>Medium</v>
      </c>
      <c r="G8" s="5" t="s">
        <v>22</v>
      </c>
      <c r="H8" s="5" t="s">
        <v>48</v>
      </c>
      <c r="I8" s="5" t="s">
        <v>41</v>
      </c>
      <c r="J8" s="5" t="s">
        <v>25</v>
      </c>
    </row>
    <row r="9" customFormat="false" ht="23.85" hidden="false" customHeight="false" outlineLevel="0" collapsed="false">
      <c r="A9" s="5" t="s">
        <v>49</v>
      </c>
      <c r="B9" s="5" t="s">
        <v>50</v>
      </c>
      <c r="C9" s="6" t="n">
        <v>3</v>
      </c>
      <c r="D9" s="6" t="n">
        <v>2</v>
      </c>
      <c r="E9" s="5" t="n">
        <f aca="false">C9*D9</f>
        <v>6</v>
      </c>
      <c r="F9" s="5" t="str">
        <f aca="false">IF(E9&gt;=6,"High",IF(E9&gt;=3,"Medium","Low"))</f>
        <v>High</v>
      </c>
      <c r="G9" s="5" t="s">
        <v>22</v>
      </c>
      <c r="H9" s="5" t="s">
        <v>51</v>
      </c>
      <c r="I9" s="5" t="s">
        <v>52</v>
      </c>
      <c r="J9" s="5" t="s">
        <v>25</v>
      </c>
    </row>
  </sheetData>
  <dataValidations count="2">
    <dataValidation allowBlank="false" errorStyle="stop" operator="between" showDropDown="false" showErrorMessage="false" showInputMessage="false" sqref="C2:D9" type="whole">
      <formula1>1</formula1>
      <formula2>3</formula2>
    </dataValidation>
    <dataValidation allowBlank="false" errorStyle="stop" operator="between" showDropDown="false" showErrorMessage="false" showInputMessage="false" sqref="J2:J9" type="list">
      <formula1>"Open,Mitigating,Closed"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4" t="s">
        <v>10</v>
      </c>
      <c r="B1" s="4" t="s">
        <v>53</v>
      </c>
      <c r="C1" s="4" t="s">
        <v>54</v>
      </c>
      <c r="D1" s="4" t="s">
        <v>16</v>
      </c>
      <c r="E1" s="4" t="s">
        <v>55</v>
      </c>
    </row>
    <row r="2" customFormat="false" ht="23.85" hidden="false" customHeight="false" outlineLevel="0" collapsed="false">
      <c r="A2" s="5" t="s">
        <v>56</v>
      </c>
      <c r="B2" s="5" t="s">
        <v>57</v>
      </c>
      <c r="C2" s="5" t="s">
        <v>58</v>
      </c>
      <c r="D2" s="5" t="s">
        <v>22</v>
      </c>
      <c r="E2" s="5" t="s">
        <v>59</v>
      </c>
    </row>
    <row r="3" customFormat="false" ht="15" hidden="false" customHeight="false" outlineLevel="0" collapsed="false">
      <c r="A3" s="5" t="s">
        <v>60</v>
      </c>
      <c r="B3" s="5" t="s">
        <v>61</v>
      </c>
      <c r="C3" s="5" t="s">
        <v>62</v>
      </c>
      <c r="D3" s="5" t="s">
        <v>22</v>
      </c>
      <c r="E3" s="5" t="s">
        <v>29</v>
      </c>
    </row>
    <row r="4" customFormat="false" ht="23.85" hidden="false" customHeight="false" outlineLevel="0" collapsed="false">
      <c r="A4" s="5" t="s">
        <v>63</v>
      </c>
      <c r="B4" s="5" t="s">
        <v>64</v>
      </c>
      <c r="C4" s="5" t="s">
        <v>65</v>
      </c>
      <c r="D4" s="5" t="s">
        <v>39</v>
      </c>
      <c r="E4" s="5" t="s">
        <v>41</v>
      </c>
    </row>
    <row r="5" customFormat="false" ht="15" hidden="false" customHeight="false" outlineLevel="0" collapsed="false">
      <c r="A5" s="5" t="s">
        <v>66</v>
      </c>
      <c r="B5" s="5" t="s">
        <v>67</v>
      </c>
      <c r="C5" s="5" t="s">
        <v>68</v>
      </c>
      <c r="D5" s="5" t="s">
        <v>69</v>
      </c>
      <c r="E5" s="5" t="s">
        <v>41</v>
      </c>
    </row>
    <row r="6" customFormat="false" ht="15" hidden="false" customHeight="false" outlineLevel="0" collapsed="false">
      <c r="A6" s="5" t="s">
        <v>70</v>
      </c>
      <c r="B6" s="5" t="s">
        <v>71</v>
      </c>
      <c r="C6" s="5" t="s">
        <v>72</v>
      </c>
      <c r="D6" s="5" t="s">
        <v>69</v>
      </c>
      <c r="E6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4" t="s">
        <v>10</v>
      </c>
      <c r="B1" s="4" t="s">
        <v>73</v>
      </c>
      <c r="C1" s="4" t="s">
        <v>74</v>
      </c>
      <c r="D1" s="4" t="s">
        <v>16</v>
      </c>
      <c r="E1" s="4" t="s">
        <v>75</v>
      </c>
      <c r="F1" s="4" t="s">
        <v>19</v>
      </c>
    </row>
    <row r="2" customFormat="false" ht="15" hidden="false" customHeight="false" outlineLevel="0" collapsed="false">
      <c r="A2" s="5" t="s">
        <v>76</v>
      </c>
      <c r="B2" s="5" t="s">
        <v>77</v>
      </c>
      <c r="C2" s="5" t="s">
        <v>78</v>
      </c>
      <c r="D2" s="5" t="s">
        <v>22</v>
      </c>
      <c r="E2" s="5" t="s">
        <v>79</v>
      </c>
      <c r="F2" s="5" t="s">
        <v>80</v>
      </c>
    </row>
    <row r="3" customFormat="false" ht="15" hidden="false" customHeight="false" outlineLevel="0" collapsed="false">
      <c r="A3" s="5" t="s">
        <v>81</v>
      </c>
      <c r="B3" s="5" t="s">
        <v>82</v>
      </c>
      <c r="C3" s="5" t="s">
        <v>83</v>
      </c>
      <c r="D3" s="5" t="s">
        <v>22</v>
      </c>
      <c r="E3" s="5" t="s">
        <v>84</v>
      </c>
      <c r="F3" s="5" t="s">
        <v>25</v>
      </c>
    </row>
    <row r="4" customFormat="false" ht="15" hidden="false" customHeight="false" outlineLevel="0" collapsed="false">
      <c r="A4" s="5" t="s">
        <v>85</v>
      </c>
      <c r="B4" s="5" t="s">
        <v>86</v>
      </c>
      <c r="C4" s="5" t="s">
        <v>83</v>
      </c>
      <c r="D4" s="5" t="s">
        <v>22</v>
      </c>
      <c r="E4" s="5" t="s">
        <v>87</v>
      </c>
      <c r="F4" s="5" t="s">
        <v>25</v>
      </c>
    </row>
    <row r="5" customFormat="false" ht="15" hidden="false" customHeight="false" outlineLevel="0" collapsed="false">
      <c r="A5" s="5" t="s">
        <v>88</v>
      </c>
      <c r="B5" s="5" t="s">
        <v>89</v>
      </c>
      <c r="C5" s="5" t="s">
        <v>78</v>
      </c>
      <c r="D5" s="5" t="s">
        <v>22</v>
      </c>
      <c r="E5" s="5" t="s">
        <v>90</v>
      </c>
      <c r="F5" s="5" t="s">
        <v>25</v>
      </c>
    </row>
    <row r="6" customFormat="false" ht="23.85" hidden="false" customHeight="false" outlineLevel="0" collapsed="false">
      <c r="A6" s="5" t="s">
        <v>91</v>
      </c>
      <c r="B6" s="5" t="s">
        <v>92</v>
      </c>
      <c r="C6" s="5" t="s">
        <v>93</v>
      </c>
      <c r="D6" s="5" t="s">
        <v>22</v>
      </c>
      <c r="E6" s="5" t="s">
        <v>94</v>
      </c>
      <c r="F6" s="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4" t="s">
        <v>10</v>
      </c>
      <c r="B1" s="4" t="s">
        <v>96</v>
      </c>
      <c r="C1" s="4" t="s">
        <v>97</v>
      </c>
      <c r="D1" s="4" t="s">
        <v>98</v>
      </c>
      <c r="E1" s="4" t="s">
        <v>99</v>
      </c>
    </row>
    <row r="2" customFormat="false" ht="23.85" hidden="false" customHeight="false" outlineLevel="0" collapsed="false">
      <c r="A2" s="5" t="s">
        <v>100</v>
      </c>
      <c r="B2" s="5" t="s">
        <v>101</v>
      </c>
      <c r="C2" s="5" t="s">
        <v>102</v>
      </c>
      <c r="D2" s="5" t="s">
        <v>29</v>
      </c>
      <c r="E2" s="5" t="s">
        <v>103</v>
      </c>
    </row>
    <row r="3" customFormat="false" ht="15" hidden="false" customHeight="false" outlineLevel="0" collapsed="false">
      <c r="A3" s="5" t="s">
        <v>104</v>
      </c>
      <c r="B3" s="5" t="s">
        <v>105</v>
      </c>
      <c r="C3" s="5" t="s">
        <v>106</v>
      </c>
      <c r="D3" s="5" t="s">
        <v>41</v>
      </c>
      <c r="E3" s="5" t="s">
        <v>107</v>
      </c>
    </row>
    <row r="4" customFormat="false" ht="23.85" hidden="false" customHeight="false" outlineLevel="0" collapsed="false">
      <c r="A4" s="5" t="s">
        <v>108</v>
      </c>
      <c r="B4" s="5" t="s">
        <v>109</v>
      </c>
      <c r="C4" s="5" t="s">
        <v>110</v>
      </c>
      <c r="D4" s="5" t="s">
        <v>52</v>
      </c>
      <c r="E4" s="5" t="s">
        <v>111</v>
      </c>
    </row>
    <row r="5" customFormat="false" ht="23.85" hidden="false" customHeight="false" outlineLevel="0" collapsed="false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116</v>
      </c>
    </row>
    <row r="6" customFormat="false" ht="15" hidden="false" customHeight="false" outlineLevel="0" collapsed="false">
      <c r="A6" s="5" t="s">
        <v>117</v>
      </c>
      <c r="B6" s="5" t="s">
        <v>118</v>
      </c>
      <c r="C6" s="5" t="s">
        <v>106</v>
      </c>
      <c r="D6" s="5" t="s">
        <v>59</v>
      </c>
      <c r="E6" s="5" t="s">
        <v>119</v>
      </c>
    </row>
    <row r="7" customFormat="false" ht="15" hidden="false" customHeight="false" outlineLevel="0" collapsed="false">
      <c r="A7" s="5" t="s">
        <v>120</v>
      </c>
      <c r="B7" s="5" t="s">
        <v>121</v>
      </c>
      <c r="C7" s="5" t="s">
        <v>122</v>
      </c>
      <c r="D7" s="5" t="s">
        <v>52</v>
      </c>
      <c r="E7" s="5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2026-10-07T00:02:15Z</dcterms:created>
  <dc:creator>openpyxl</dc:creator>
  <dc:description/>
  <dc:language>en-US</dc:language>
  <cp:lastModifiedBy/>
  <dcterms:modified xsi:type="dcterms:W3CDTF">2026-10-07T00:02:15Z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